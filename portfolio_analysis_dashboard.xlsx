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/>
  <xr:revisionPtr revIDLastSave="182" documentId="11_E6F41175EA9DEF4166578C5AD1BF1CF5861890F5" xr6:coauthVersionLast="47" xr6:coauthVersionMax="47" xr10:uidLastSave="{7CD99553-B638-479D-B9BF-6A01A1EACAA8}"/>
  <bookViews>
    <workbookView xWindow="0" yWindow="0" windowWidth="16384" windowHeight="8192" tabRatio="500" activeTab="3" xr2:uid="{00000000-000D-0000-FFFF-FFFF00000000}"/>
  </bookViews>
  <sheets>
    <sheet name="Portfolio Data" sheetId="1" r:id="rId1"/>
    <sheet name="Skill Analysis" sheetId="5" r:id="rId2"/>
    <sheet name="Project Analysis." sheetId="6" r:id="rId3"/>
    <sheet name="Dashboard Summary," sheetId="7" r:id="rId4"/>
    <sheet name="Summary Insights" sheetId="8" r:id="rId5"/>
  </sheets>
  <calcPr calcId="191028" iterateDelta="1E-4"/>
  <pivotCaches>
    <pivotCache cacheId="63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7" l="1"/>
</calcChain>
</file>

<file path=xl/sharedStrings.xml><?xml version="1.0" encoding="utf-8"?>
<sst xmlns="http://schemas.openxmlformats.org/spreadsheetml/2006/main" count="135" uniqueCount="67">
  <si>
    <t>Project Name</t>
  </si>
  <si>
    <t>Technology Used</t>
  </si>
  <si>
    <t>Skill Category</t>
  </si>
  <si>
    <t>Completion Status</t>
  </si>
  <si>
    <t>Experience Level</t>
  </si>
  <si>
    <t>Duration (Weeks)</t>
  </si>
  <si>
    <t>Year</t>
  </si>
  <si>
    <t>E-Commerce Website</t>
  </si>
  <si>
    <t>HTML, CSS, JavaScript</t>
  </si>
  <si>
    <t>Frontend</t>
  </si>
  <si>
    <t>Completed</t>
  </si>
  <si>
    <t>Intermediate</t>
  </si>
  <si>
    <t>Student Result System</t>
  </si>
  <si>
    <t>Python, MySQL</t>
  </si>
  <si>
    <t>Backend</t>
  </si>
  <si>
    <t>Beginner</t>
  </si>
  <si>
    <t>Portfolio Website</t>
  </si>
  <si>
    <t>HTML, CSS, Bootstrap</t>
  </si>
  <si>
    <t>Weather App</t>
  </si>
  <si>
    <t>Python, API, JSON</t>
  </si>
  <si>
    <t>Full Stack</t>
  </si>
  <si>
    <t>Library Management System</t>
  </si>
  <si>
    <t>Java, MySQL</t>
  </si>
  <si>
    <t>Chat Application</t>
  </si>
  <si>
    <t>Python, Socket</t>
  </si>
  <si>
    <t>In Progress</t>
  </si>
  <si>
    <t>Data Dashboard</t>
  </si>
  <si>
    <t>Python, Pandas, Matplotlib</t>
  </si>
  <si>
    <t>Data Analysis</t>
  </si>
  <si>
    <t>Todo App (Mobile)</t>
  </si>
  <si>
    <t>React Native</t>
  </si>
  <si>
    <t>Mobile</t>
  </si>
  <si>
    <t>Blog Platform</t>
  </si>
  <si>
    <t>PHP, MySQL, CSS</t>
  </si>
  <si>
    <t>Inventory System</t>
  </si>
  <si>
    <t>Python, SQLite</t>
  </si>
  <si>
    <t>Advanced</t>
  </si>
  <si>
    <t>Image Classifier</t>
  </si>
  <si>
    <t>Python, TensorFlow</t>
  </si>
  <si>
    <t>AI/ML</t>
  </si>
  <si>
    <t>REST API Service</t>
  </si>
  <si>
    <t>Node.js, Express, MongoDB</t>
  </si>
  <si>
    <t>Quiz App</t>
  </si>
  <si>
    <t>JavaScript, HTML, CSS</t>
  </si>
  <si>
    <t>Sales Analytics Tool</t>
  </si>
  <si>
    <t>Python, Pandas, Excel</t>
  </si>
  <si>
    <t>Expense Tracker</t>
  </si>
  <si>
    <t>React, Firebase</t>
  </si>
  <si>
    <t>Most common Skills</t>
  </si>
  <si>
    <t>Technology Usage</t>
  </si>
  <si>
    <t>Count of Project Name</t>
  </si>
  <si>
    <t>Grand Total</t>
  </si>
  <si>
    <t>Project Completion Status</t>
  </si>
  <si>
    <t>Project By Year</t>
  </si>
  <si>
    <t>KPI Cards</t>
  </si>
  <si>
    <t>Totals Projects</t>
  </si>
  <si>
    <t>Completed Projects</t>
  </si>
  <si>
    <t>kpi</t>
  </si>
  <si>
    <t>Key Insights</t>
  </si>
  <si>
    <t>Total Portfolio Size</t>
  </si>
  <si>
    <t>This portfolio consists of 15 projects developed over 3 years (2023-2025)</t>
  </si>
  <si>
    <t>Project Execution Rate</t>
  </si>
  <si>
    <t>Impressive 80% of projects are completed while 20% are currently in progress</t>
  </si>
  <si>
    <t>Top Skills Domain</t>
  </si>
  <si>
    <t xml:space="preserve">Frontend and Backend are most dominant skills categories </t>
  </si>
  <si>
    <t>Development Efficiency</t>
  </si>
  <si>
    <t xml:space="preserve">The average project complete in duration of 3 to 12 weeks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</si>
</sst>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27AE60"/>
      <name val="Arial"/>
      <charset val="1"/>
    </font>
    <font>
      <b/>
      <sz val="10"/>
      <color rgb="FFF39C12"/>
      <name val="Arial"/>
      <charset val="1"/>
    </font>
    <font>
      <b/>
      <sz val="14"/>
      <color theme="0"/>
      <name val="Arial"/>
    </font>
    <font>
      <b/>
      <sz val="14"/>
      <color theme="1"/>
      <name val="Calibri"/>
      <family val="2"/>
      <charset val="1"/>
    </font>
    <font>
      <b/>
      <sz val="12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7F9FC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FFFFFF"/>
        <bgColor rgb="FFF7F9FC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7F9FC"/>
      </patternFill>
    </fill>
    <fill>
      <patternFill patternType="solid">
        <fgColor rgb="FFF9EBEA"/>
        <bgColor rgb="FFF5EEF8"/>
      </patternFill>
    </fill>
    <fill>
      <patternFill patternType="solid">
        <fgColor rgb="FFEAF2FF"/>
        <bgColor rgb="FFF5EEF8"/>
      </patternFill>
    </fill>
    <fill>
      <patternFill patternType="solid">
        <fgColor rgb="FFF5EEF8"/>
        <bgColor rgb="FFF9EBEA"/>
      </patternFill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5" fillId="11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7F9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7F9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7F9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7AE6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7F9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FFFF"/>
          <bgColor rgb="FFF7F9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99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D5F5E3"/>
      <rgbColor rgb="FFF9EBEA"/>
      <rgbColor rgb="FF99CCFF"/>
      <rgbColor rgb="FFFF99CC"/>
      <rgbColor rgb="FFCC99FF"/>
      <rgbColor rgb="FFF7F9FC"/>
      <rgbColor rgb="FF3366FF"/>
      <rgbColor rgb="FF33CCCC"/>
      <rgbColor rgb="FF99CC00"/>
      <rgbColor rgb="FFFFCC00"/>
      <rgbColor rgb="FFF39C12"/>
      <rgbColor rgb="FFFF6600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[portfolio_analysis.xlsx]Skill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Most Common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'Skill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'Skill Analysis'!$A$4:$A$10</c:f>
              <c:strCache>
                <c:ptCount val="6"/>
                <c:pt idx="0">
                  <c:v>AI/ML</c:v>
                </c:pt>
                <c:pt idx="1">
                  <c:v>Backend</c:v>
                </c:pt>
                <c:pt idx="2">
                  <c:v>Data Analysis</c:v>
                </c:pt>
                <c:pt idx="3">
                  <c:v>Frontend</c:v>
                </c:pt>
                <c:pt idx="4">
                  <c:v>Full Stack</c:v>
                </c:pt>
                <c:pt idx="5">
                  <c:v>Mobile</c:v>
                </c:pt>
              </c:strCache>
            </c:strRef>
          </c:cat>
          <c:val>
            <c:numRef>
              <c:f>'Skill Analysis'!$B$4:$B$10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7-4C21-A7D3-C9D02BB5C1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100"/>
        <c:axId val="1401228807"/>
        <c:axId val="1402038791"/>
      </c:barChart>
      <c:catAx>
        <c:axId val="1401228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38791"/>
        <c:crosses val="autoZero"/>
        <c:auto val="1"/>
        <c:lblAlgn val="ctr"/>
        <c:lblOffset val="100"/>
        <c:noMultiLvlLbl val="0"/>
      </c:catAx>
      <c:valAx>
        <c:axId val="1402038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1228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[portfolio_analysis.xlsx]Project Analysis.!PivotTable3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Completion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'Project Analysis.'!$B$3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38-4E46-9D43-3C037BEEF6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38-4E46-9D43-3C037BEEF658}"/>
              </c:ext>
            </c:extLst>
          </c:dPt>
          <c:cat>
            <c:strRef>
              <c:f>'Project Analysis.'!$A$4:$A$6</c:f>
              <c:strCache>
                <c:ptCount val="2"/>
                <c:pt idx="0">
                  <c:v>Completed</c:v>
                </c:pt>
                <c:pt idx="1">
                  <c:v>In Progress</c:v>
                </c:pt>
              </c:strCache>
            </c:strRef>
          </c:cat>
          <c:val>
            <c:numRef>
              <c:f>'Project Analysis.'!$B$4:$B$6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38-4E46-9D43-3C037BEEF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8</xdr:col>
      <xdr:colOff>571500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BA2CA-3F36-4029-8EF8-E767473CF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3</xdr:row>
      <xdr:rowOff>9525</xdr:rowOff>
    </xdr:from>
    <xdr:to>
      <xdr:col>16</xdr:col>
      <xdr:colOff>400050</xdr:colOff>
      <xdr:row>16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0D6D60-139B-4C51-B1AD-9A14770D1D77}"/>
            </a:ext>
            <a:ext uri="{147F2762-F138-4A5C-976F-8EAC2B608ADB}">
              <a16:predDERef xmlns:a16="http://schemas.microsoft.com/office/drawing/2014/main" pred="{D2EBA2CA-3F36-4029-8EF8-E767473CF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9.067354513892" createdVersion="8" refreshedVersion="8" minRefreshableVersion="3" recordCount="15" xr:uid="{08F092D4-6E1A-4DCD-9B48-C45075748490}">
  <cacheSource type="worksheet">
    <worksheetSource name="table1"/>
  </cacheSource>
  <cacheFields count="7">
    <cacheField name="Project Name" numFmtId="0">
      <sharedItems count="15">
        <s v="E-Commerce Website"/>
        <s v="Student Result System"/>
        <s v="Portfolio Website"/>
        <s v="Weather App"/>
        <s v="Library Management System"/>
        <s v="Chat Application"/>
        <s v="Data Dashboard"/>
        <s v="Todo App (Mobile)"/>
        <s v="Blog Platform"/>
        <s v="Inventory System"/>
        <s v="Image Classifier"/>
        <s v="REST API Service"/>
        <s v="Quiz App"/>
        <s v="Sales Analytics Tool"/>
        <s v="Expense Tracker"/>
      </sharedItems>
    </cacheField>
    <cacheField name="Technology Used" numFmtId="0">
      <sharedItems count="15">
        <s v="HTML, CSS, JavaScript"/>
        <s v="Python, MySQL"/>
        <s v="HTML, CSS, Bootstrap"/>
        <s v="Python, API, JSON"/>
        <s v="Java, MySQL"/>
        <s v="Python, Socket"/>
        <s v="Python, Pandas, Matplotlib"/>
        <s v="React Native"/>
        <s v="PHP, MySQL, CSS"/>
        <s v="Python, SQLite"/>
        <s v="Python, TensorFlow"/>
        <s v="Node.js, Express, MongoDB"/>
        <s v="JavaScript, HTML, CSS"/>
        <s v="Python, Pandas, Excel"/>
        <s v="React, Firebase"/>
      </sharedItems>
    </cacheField>
    <cacheField name="Skill Category" numFmtId="0">
      <sharedItems count="6">
        <s v="Frontend"/>
        <s v="Backend"/>
        <s v="Full Stack"/>
        <s v="Data Analysis"/>
        <s v="Mobile"/>
        <s v="AI/ML"/>
      </sharedItems>
    </cacheField>
    <cacheField name="Completion Status" numFmtId="0">
      <sharedItems count="2">
        <s v="Completed"/>
        <s v="In Progress"/>
      </sharedItems>
    </cacheField>
    <cacheField name="Experience Level" numFmtId="0">
      <sharedItems/>
    </cacheField>
    <cacheField name="Duration (Weeks)" numFmtId="0">
      <sharedItems containsSemiMixedTypes="0" containsString="0" containsNumber="1" containsInteger="1" minValue="3" maxValue="12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s v="Intermediate"/>
    <n v="6"/>
    <x v="0"/>
  </r>
  <r>
    <x v="1"/>
    <x v="1"/>
    <x v="1"/>
    <x v="0"/>
    <s v="Beginner"/>
    <n v="4"/>
    <x v="0"/>
  </r>
  <r>
    <x v="2"/>
    <x v="2"/>
    <x v="0"/>
    <x v="0"/>
    <s v="Beginner"/>
    <n v="3"/>
    <x v="0"/>
  </r>
  <r>
    <x v="3"/>
    <x v="3"/>
    <x v="2"/>
    <x v="0"/>
    <s v="Intermediate"/>
    <n v="5"/>
    <x v="0"/>
  </r>
  <r>
    <x v="4"/>
    <x v="4"/>
    <x v="1"/>
    <x v="0"/>
    <s v="Intermediate"/>
    <n v="7"/>
    <x v="1"/>
  </r>
  <r>
    <x v="5"/>
    <x v="5"/>
    <x v="1"/>
    <x v="1"/>
    <s v="Intermediate"/>
    <n v="8"/>
    <x v="1"/>
  </r>
  <r>
    <x v="6"/>
    <x v="6"/>
    <x v="3"/>
    <x v="0"/>
    <s v="Intermediate"/>
    <n v="5"/>
    <x v="1"/>
  </r>
  <r>
    <x v="7"/>
    <x v="7"/>
    <x v="4"/>
    <x v="0"/>
    <s v="Beginner"/>
    <n v="4"/>
    <x v="1"/>
  </r>
  <r>
    <x v="8"/>
    <x v="8"/>
    <x v="2"/>
    <x v="0"/>
    <s v="Intermediate"/>
    <n v="9"/>
    <x v="1"/>
  </r>
  <r>
    <x v="9"/>
    <x v="9"/>
    <x v="1"/>
    <x v="1"/>
    <s v="Advanced"/>
    <n v="10"/>
    <x v="1"/>
  </r>
  <r>
    <x v="10"/>
    <x v="10"/>
    <x v="5"/>
    <x v="0"/>
    <s v="Advanced"/>
    <n v="12"/>
    <x v="2"/>
  </r>
  <r>
    <x v="11"/>
    <x v="11"/>
    <x v="1"/>
    <x v="0"/>
    <s v="Advanced"/>
    <n v="6"/>
    <x v="2"/>
  </r>
  <r>
    <x v="12"/>
    <x v="12"/>
    <x v="0"/>
    <x v="0"/>
    <s v="Beginner"/>
    <n v="3"/>
    <x v="2"/>
  </r>
  <r>
    <x v="13"/>
    <x v="13"/>
    <x v="3"/>
    <x v="1"/>
    <s v="Advanced"/>
    <n v="8"/>
    <x v="2"/>
  </r>
  <r>
    <x v="14"/>
    <x v="14"/>
    <x v="2"/>
    <x v="0"/>
    <s v="Intermediate"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03BCE-D99C-4957-8D7E-4DE8849F94B7}" name="PivotTable2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D3:E19" firstHeaderRow="1" firstDataRow="1" firstDataCol="1"/>
  <pivotFields count="7">
    <pivotField dataField="1" compact="0" outline="0" showAll="0"/>
    <pivotField axis="axisRow" compact="0" outline="0" showAll="0">
      <items count="16">
        <item x="2"/>
        <item x="0"/>
        <item x="4"/>
        <item x="12"/>
        <item x="11"/>
        <item x="8"/>
        <item x="3"/>
        <item x="1"/>
        <item x="13"/>
        <item x="6"/>
        <item x="5"/>
        <item x="9"/>
        <item x="10"/>
        <item x="7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Project Name" fld="0" subtotal="count" baseField="0" baseItem="0"/>
  </dataFields>
  <chartFormats count="8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3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5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6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8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8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8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9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9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6" format="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87A26-A217-4DF5-8AAA-AF16CC031789}" name="PivotTable1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7">
    <pivotField dataField="1" compact="0" outline="0" showAll="0"/>
    <pivotField compact="0" outline="0" showAll="0"/>
    <pivotField axis="axisRow" compact="0" outline="0" showAll="0">
      <items count="7">
        <item x="5"/>
        <item x="1"/>
        <item x="3"/>
        <item x="0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roject Name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4BCCA-0C01-407F-B29C-AEB3B59868A6}" name="PivotTable4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7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0ADCE-1E34-4760-824B-2D4A566F5E31}" name="PivotTable3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7">
    <pivotField dataField="1" compact="0" outline="0" showAll="0">
      <items count="16">
        <item x="8"/>
        <item x="5"/>
        <item x="6"/>
        <item x="0"/>
        <item x="14"/>
        <item x="10"/>
        <item x="9"/>
        <item x="4"/>
        <item x="2"/>
        <item x="12"/>
        <item x="11"/>
        <item x="13"/>
        <item x="1"/>
        <item x="7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Project Name" fld="0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1F1F3-0771-45B9-BB03-57EA0740C0EB}" name="Table1" displayName="Table1" ref="A1:G16" totalsRowShown="0" headerRowDxfId="9" headerRowBorderDxfId="7" tableBorderDxfId="8" totalsRowBorderDxfId="6">
  <autoFilter ref="A1:G16" xr:uid="{5D21F1F3-0771-45B9-BB03-57EA0740C0EB}"/>
  <tableColumns count="7">
    <tableColumn id="1" xr3:uid="{58226DEB-4918-40A2-A77D-D9070EBBA483}" name="Project Name" dataDxfId="5"/>
    <tableColumn id="2" xr3:uid="{7FA9B043-356E-4489-9D02-536DD768A299}" name="Technology Used" dataDxfId="4"/>
    <tableColumn id="3" xr3:uid="{FCF03E70-51C3-4C0B-A748-0E9527335D84}" name="Skill Category"/>
    <tableColumn id="4" xr3:uid="{902561C3-AC94-47C9-8E0A-30A0113BBF60}" name="Completion Status" dataDxfId="3"/>
    <tableColumn id="5" xr3:uid="{C59D14BE-9671-4218-80A2-A122859A69B1}" name="Experience Level" dataDxfId="2"/>
    <tableColumn id="6" xr3:uid="{B8E2968D-98CD-43AE-A638-A99A3D24B536}" name="Duration (Weeks)" dataDxfId="1"/>
    <tableColumn id="7" xr3:uid="{C4290A8F-05A6-4EE7-B72F-C334074C346A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8" style="1" customWidth="1"/>
    <col min="2" max="2" width="30" style="1" customWidth="1"/>
    <col min="3" max="3" width="22.7109375" style="1" customWidth="1"/>
    <col min="4" max="4" width="18.28515625" style="1" bestFit="1" customWidth="1"/>
    <col min="5" max="5" width="21.42578125" style="1" customWidth="1"/>
    <col min="6" max="6" width="20.28515625" style="1" customWidth="1"/>
    <col min="7" max="7" width="11.28515625" style="1" customWidth="1"/>
  </cols>
  <sheetData>
    <row r="1" spans="1:7" ht="30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</row>
    <row r="2" spans="1:7" ht="15" customHeight="1">
      <c r="A2" s="12" t="s">
        <v>7</v>
      </c>
      <c r="B2" s="2" t="s">
        <v>8</v>
      </c>
      <c r="C2" s="3" t="s">
        <v>9</v>
      </c>
      <c r="D2" s="4" t="s">
        <v>10</v>
      </c>
      <c r="E2" s="2" t="s">
        <v>11</v>
      </c>
      <c r="F2" s="2">
        <v>6</v>
      </c>
      <c r="G2" s="14">
        <v>2023</v>
      </c>
    </row>
    <row r="3" spans="1:7" ht="15" customHeight="1">
      <c r="A3" s="13" t="s">
        <v>12</v>
      </c>
      <c r="B3" s="5" t="s">
        <v>13</v>
      </c>
      <c r="C3" s="6" t="s">
        <v>14</v>
      </c>
      <c r="D3" s="4" t="s">
        <v>10</v>
      </c>
      <c r="E3" s="5" t="s">
        <v>15</v>
      </c>
      <c r="F3" s="5">
        <v>4</v>
      </c>
      <c r="G3" s="15">
        <v>2023</v>
      </c>
    </row>
    <row r="4" spans="1:7" ht="15" customHeight="1">
      <c r="A4" s="12" t="s">
        <v>16</v>
      </c>
      <c r="B4" s="2" t="s">
        <v>17</v>
      </c>
      <c r="C4" s="3" t="s">
        <v>9</v>
      </c>
      <c r="D4" s="4" t="s">
        <v>10</v>
      </c>
      <c r="E4" s="2" t="s">
        <v>15</v>
      </c>
      <c r="F4" s="2">
        <v>3</v>
      </c>
      <c r="G4" s="14">
        <v>2023</v>
      </c>
    </row>
    <row r="5" spans="1:7" ht="15" customHeight="1">
      <c r="A5" s="13" t="s">
        <v>18</v>
      </c>
      <c r="B5" s="5" t="s">
        <v>19</v>
      </c>
      <c r="C5" s="7" t="s">
        <v>20</v>
      </c>
      <c r="D5" s="4" t="s">
        <v>10</v>
      </c>
      <c r="E5" s="5" t="s">
        <v>11</v>
      </c>
      <c r="F5" s="5">
        <v>5</v>
      </c>
      <c r="G5" s="15">
        <v>2023</v>
      </c>
    </row>
    <row r="6" spans="1:7" ht="15" customHeight="1">
      <c r="A6" s="12" t="s">
        <v>21</v>
      </c>
      <c r="B6" s="2" t="s">
        <v>22</v>
      </c>
      <c r="C6" s="6" t="s">
        <v>14</v>
      </c>
      <c r="D6" s="4" t="s">
        <v>10</v>
      </c>
      <c r="E6" s="2" t="s">
        <v>11</v>
      </c>
      <c r="F6" s="2">
        <v>7</v>
      </c>
      <c r="G6" s="14">
        <v>2024</v>
      </c>
    </row>
    <row r="7" spans="1:7" ht="15" customHeight="1">
      <c r="A7" s="13" t="s">
        <v>23</v>
      </c>
      <c r="B7" s="5" t="s">
        <v>24</v>
      </c>
      <c r="C7" s="6" t="s">
        <v>14</v>
      </c>
      <c r="D7" s="8" t="s">
        <v>25</v>
      </c>
      <c r="E7" s="5" t="s">
        <v>11</v>
      </c>
      <c r="F7" s="5">
        <v>8</v>
      </c>
      <c r="G7" s="15">
        <v>2024</v>
      </c>
    </row>
    <row r="8" spans="1:7" ht="15" customHeight="1">
      <c r="A8" s="12" t="s">
        <v>26</v>
      </c>
      <c r="B8" s="2" t="s">
        <v>27</v>
      </c>
      <c r="C8" s="9" t="s">
        <v>28</v>
      </c>
      <c r="D8" s="4" t="s">
        <v>10</v>
      </c>
      <c r="E8" s="2" t="s">
        <v>11</v>
      </c>
      <c r="F8" s="2">
        <v>5</v>
      </c>
      <c r="G8" s="14">
        <v>2024</v>
      </c>
    </row>
    <row r="9" spans="1:7" ht="15" customHeight="1">
      <c r="A9" s="13" t="s">
        <v>29</v>
      </c>
      <c r="B9" s="5" t="s">
        <v>30</v>
      </c>
      <c r="C9" s="10" t="s">
        <v>31</v>
      </c>
      <c r="D9" s="4" t="s">
        <v>10</v>
      </c>
      <c r="E9" s="5" t="s">
        <v>15</v>
      </c>
      <c r="F9" s="5">
        <v>4</v>
      </c>
      <c r="G9" s="15">
        <v>2024</v>
      </c>
    </row>
    <row r="10" spans="1:7" ht="15" customHeight="1">
      <c r="A10" s="12" t="s">
        <v>32</v>
      </c>
      <c r="B10" s="2" t="s">
        <v>33</v>
      </c>
      <c r="C10" s="7" t="s">
        <v>20</v>
      </c>
      <c r="D10" s="4" t="s">
        <v>10</v>
      </c>
      <c r="E10" s="2" t="s">
        <v>11</v>
      </c>
      <c r="F10" s="2">
        <v>9</v>
      </c>
      <c r="G10" s="14">
        <v>2024</v>
      </c>
    </row>
    <row r="11" spans="1:7" ht="15" customHeight="1">
      <c r="A11" s="13" t="s">
        <v>34</v>
      </c>
      <c r="B11" s="5" t="s">
        <v>35</v>
      </c>
      <c r="C11" s="6" t="s">
        <v>14</v>
      </c>
      <c r="D11" s="8" t="s">
        <v>25</v>
      </c>
      <c r="E11" s="5" t="s">
        <v>36</v>
      </c>
      <c r="F11" s="5">
        <v>10</v>
      </c>
      <c r="G11" s="15">
        <v>2024</v>
      </c>
    </row>
    <row r="12" spans="1:7" ht="15" customHeight="1">
      <c r="A12" s="12" t="s">
        <v>37</v>
      </c>
      <c r="B12" s="2" t="s">
        <v>38</v>
      </c>
      <c r="C12" s="11" t="s">
        <v>39</v>
      </c>
      <c r="D12" s="4" t="s">
        <v>10</v>
      </c>
      <c r="E12" s="2" t="s">
        <v>36</v>
      </c>
      <c r="F12" s="2">
        <v>12</v>
      </c>
      <c r="G12" s="14">
        <v>2025</v>
      </c>
    </row>
    <row r="13" spans="1:7" ht="15" customHeight="1">
      <c r="A13" s="13" t="s">
        <v>40</v>
      </c>
      <c r="B13" s="5" t="s">
        <v>41</v>
      </c>
      <c r="C13" s="6" t="s">
        <v>14</v>
      </c>
      <c r="D13" s="4" t="s">
        <v>10</v>
      </c>
      <c r="E13" s="5" t="s">
        <v>36</v>
      </c>
      <c r="F13" s="5">
        <v>6</v>
      </c>
      <c r="G13" s="15">
        <v>2025</v>
      </c>
    </row>
    <row r="14" spans="1:7" ht="15" customHeight="1">
      <c r="A14" s="12" t="s">
        <v>42</v>
      </c>
      <c r="B14" s="2" t="s">
        <v>43</v>
      </c>
      <c r="C14" s="3" t="s">
        <v>9</v>
      </c>
      <c r="D14" s="4" t="s">
        <v>10</v>
      </c>
      <c r="E14" s="2" t="s">
        <v>15</v>
      </c>
      <c r="F14" s="2">
        <v>3</v>
      </c>
      <c r="G14" s="14">
        <v>2025</v>
      </c>
    </row>
    <row r="15" spans="1:7" ht="15" customHeight="1">
      <c r="A15" s="13" t="s">
        <v>44</v>
      </c>
      <c r="B15" s="5" t="s">
        <v>45</v>
      </c>
      <c r="C15" s="9" t="s">
        <v>28</v>
      </c>
      <c r="D15" s="8" t="s">
        <v>25</v>
      </c>
      <c r="E15" s="5" t="s">
        <v>36</v>
      </c>
      <c r="F15" s="5">
        <v>8</v>
      </c>
      <c r="G15" s="15">
        <v>2025</v>
      </c>
    </row>
    <row r="16" spans="1:7" ht="15" customHeight="1">
      <c r="A16" s="19" t="s">
        <v>46</v>
      </c>
      <c r="B16" s="20" t="s">
        <v>47</v>
      </c>
      <c r="C16" s="21" t="s">
        <v>20</v>
      </c>
      <c r="D16" s="22" t="s">
        <v>10</v>
      </c>
      <c r="E16" s="20" t="s">
        <v>11</v>
      </c>
      <c r="F16" s="20">
        <v>7</v>
      </c>
      <c r="G16" s="23">
        <v>2025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C2C1-D6C2-4E7D-941C-57CD18D6C9B7}">
  <dimension ref="A1:E19"/>
  <sheetViews>
    <sheetView workbookViewId="0">
      <selection activeCell="B15" sqref="B15"/>
    </sheetView>
  </sheetViews>
  <sheetFormatPr defaultRowHeight="15"/>
  <cols>
    <col min="1" max="1" width="16" bestFit="1" customWidth="1"/>
    <col min="2" max="3" width="21.140625" bestFit="1" customWidth="1"/>
    <col min="4" max="4" width="24.85546875" bestFit="1" customWidth="1"/>
    <col min="5" max="5" width="21.140625" bestFit="1" customWidth="1"/>
  </cols>
  <sheetData>
    <row r="1" spans="1:5">
      <c r="A1" s="26" t="s">
        <v>48</v>
      </c>
      <c r="B1" s="26"/>
      <c r="D1" s="26" t="s">
        <v>49</v>
      </c>
      <c r="E1" s="26"/>
    </row>
    <row r="2" spans="1:5">
      <c r="A2" s="26"/>
      <c r="B2" s="26"/>
      <c r="D2" s="26"/>
      <c r="E2" s="26"/>
    </row>
    <row r="3" spans="1:5">
      <c r="A3" s="24" t="s">
        <v>2</v>
      </c>
      <c r="B3" t="s">
        <v>50</v>
      </c>
      <c r="D3" s="24" t="s">
        <v>1</v>
      </c>
      <c r="E3" t="s">
        <v>50</v>
      </c>
    </row>
    <row r="4" spans="1:5">
      <c r="A4" t="s">
        <v>39</v>
      </c>
      <c r="B4" s="25">
        <v>1</v>
      </c>
      <c r="D4" t="s">
        <v>17</v>
      </c>
      <c r="E4" s="25">
        <v>1</v>
      </c>
    </row>
    <row r="5" spans="1:5">
      <c r="A5" t="s">
        <v>14</v>
      </c>
      <c r="B5" s="25">
        <v>5</v>
      </c>
      <c r="D5" t="s">
        <v>8</v>
      </c>
      <c r="E5" s="25">
        <v>1</v>
      </c>
    </row>
    <row r="6" spans="1:5">
      <c r="A6" t="s">
        <v>28</v>
      </c>
      <c r="B6" s="25">
        <v>2</v>
      </c>
      <c r="D6" t="s">
        <v>22</v>
      </c>
      <c r="E6" s="25">
        <v>1</v>
      </c>
    </row>
    <row r="7" spans="1:5">
      <c r="A7" t="s">
        <v>9</v>
      </c>
      <c r="B7" s="25">
        <v>3</v>
      </c>
      <c r="D7" t="s">
        <v>43</v>
      </c>
      <c r="E7" s="25">
        <v>1</v>
      </c>
    </row>
    <row r="8" spans="1:5">
      <c r="A8" t="s">
        <v>20</v>
      </c>
      <c r="B8" s="25">
        <v>3</v>
      </c>
      <c r="D8" t="s">
        <v>41</v>
      </c>
      <c r="E8" s="25">
        <v>1</v>
      </c>
    </row>
    <row r="9" spans="1:5">
      <c r="A9" t="s">
        <v>31</v>
      </c>
      <c r="B9" s="25">
        <v>1</v>
      </c>
      <c r="D9" t="s">
        <v>33</v>
      </c>
      <c r="E9" s="25">
        <v>1</v>
      </c>
    </row>
    <row r="10" spans="1:5">
      <c r="A10" t="s">
        <v>51</v>
      </c>
      <c r="B10" s="25">
        <v>15</v>
      </c>
      <c r="D10" t="s">
        <v>19</v>
      </c>
      <c r="E10" s="25">
        <v>1</v>
      </c>
    </row>
    <row r="11" spans="1:5">
      <c r="D11" t="s">
        <v>13</v>
      </c>
      <c r="E11" s="25">
        <v>1</v>
      </c>
    </row>
    <row r="12" spans="1:5">
      <c r="D12" t="s">
        <v>45</v>
      </c>
      <c r="E12" s="25">
        <v>1</v>
      </c>
    </row>
    <row r="13" spans="1:5">
      <c r="D13" t="s">
        <v>27</v>
      </c>
      <c r="E13" s="25">
        <v>1</v>
      </c>
    </row>
    <row r="14" spans="1:5">
      <c r="D14" t="s">
        <v>24</v>
      </c>
      <c r="E14" s="25">
        <v>1</v>
      </c>
    </row>
    <row r="15" spans="1:5">
      <c r="D15" t="s">
        <v>35</v>
      </c>
      <c r="E15" s="25">
        <v>1</v>
      </c>
    </row>
    <row r="16" spans="1:5">
      <c r="D16" t="s">
        <v>38</v>
      </c>
      <c r="E16" s="25">
        <v>1</v>
      </c>
    </row>
    <row r="17" spans="4:5">
      <c r="D17" t="s">
        <v>30</v>
      </c>
      <c r="E17" s="25">
        <v>1</v>
      </c>
    </row>
    <row r="18" spans="4:5">
      <c r="D18" t="s">
        <v>47</v>
      </c>
      <c r="E18" s="25">
        <v>1</v>
      </c>
    </row>
    <row r="19" spans="4:5">
      <c r="D19" t="s">
        <v>51</v>
      </c>
      <c r="E19" s="25">
        <v>15</v>
      </c>
    </row>
  </sheetData>
  <mergeCells count="2">
    <mergeCell ref="A1:B2"/>
    <mergeCell ref="D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8AC6-DF9A-4B64-BE4D-7FF3387D515C}">
  <dimension ref="A1:F7"/>
  <sheetViews>
    <sheetView workbookViewId="0">
      <selection activeCell="B4" sqref="B4"/>
    </sheetView>
  </sheetViews>
  <sheetFormatPr defaultRowHeight="15"/>
  <cols>
    <col min="1" max="1" width="20.42578125" bestFit="1" customWidth="1"/>
    <col min="2" max="2" width="23.140625" customWidth="1"/>
    <col min="5" max="5" width="11.42578125" customWidth="1"/>
    <col min="6" max="6" width="21.140625" customWidth="1"/>
  </cols>
  <sheetData>
    <row r="1" spans="1:6">
      <c r="A1" s="26" t="s">
        <v>52</v>
      </c>
      <c r="B1" s="26"/>
      <c r="E1" s="26" t="s">
        <v>53</v>
      </c>
      <c r="F1" s="26"/>
    </row>
    <row r="2" spans="1:6" ht="18" customHeight="1">
      <c r="A2" s="26"/>
      <c r="B2" s="26"/>
      <c r="E2" s="26"/>
      <c r="F2" s="26"/>
    </row>
    <row r="3" spans="1:6">
      <c r="A3" s="24" t="s">
        <v>3</v>
      </c>
      <c r="B3" t="s">
        <v>50</v>
      </c>
      <c r="E3" s="24" t="s">
        <v>6</v>
      </c>
      <c r="F3" t="s">
        <v>50</v>
      </c>
    </row>
    <row r="4" spans="1:6">
      <c r="A4" t="s">
        <v>10</v>
      </c>
      <c r="B4" s="25">
        <v>12</v>
      </c>
      <c r="E4">
        <v>2023</v>
      </c>
      <c r="F4" s="25">
        <v>4</v>
      </c>
    </row>
    <row r="5" spans="1:6">
      <c r="A5" t="s">
        <v>25</v>
      </c>
      <c r="B5" s="25">
        <v>3</v>
      </c>
      <c r="E5">
        <v>2024</v>
      </c>
      <c r="F5" s="25">
        <v>6</v>
      </c>
    </row>
    <row r="6" spans="1:6">
      <c r="A6" t="s">
        <v>51</v>
      </c>
      <c r="B6" s="25">
        <v>15</v>
      </c>
      <c r="E6">
        <v>2025</v>
      </c>
      <c r="F6" s="25">
        <v>5</v>
      </c>
    </row>
    <row r="7" spans="1:6">
      <c r="E7" t="s">
        <v>51</v>
      </c>
      <c r="F7" s="25">
        <v>15</v>
      </c>
    </row>
  </sheetData>
  <mergeCells count="2">
    <mergeCell ref="A1:B2"/>
    <mergeCell ref="E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5CE7-B0E3-49A1-85E9-8ABAEC6F38BB}">
  <dimension ref="A1:C124"/>
  <sheetViews>
    <sheetView tabSelected="1" workbookViewId="0">
      <selection activeCell="P20" sqref="P20"/>
    </sheetView>
  </sheetViews>
  <sheetFormatPr defaultRowHeight="15"/>
  <cols>
    <col min="1" max="1" width="21.85546875" customWidth="1"/>
    <col min="2" max="2" width="12.28515625" customWidth="1"/>
    <col min="3" max="3" width="23.28515625" customWidth="1"/>
  </cols>
  <sheetData>
    <row r="1" spans="1:2">
      <c r="A1" s="26" t="s">
        <v>54</v>
      </c>
      <c r="B1" s="26"/>
    </row>
    <row r="2" spans="1:2">
      <c r="A2" s="26"/>
      <c r="B2" s="26"/>
    </row>
    <row r="3" spans="1:2" ht="18.75">
      <c r="A3" s="27" t="s">
        <v>55</v>
      </c>
      <c r="B3" s="27">
        <f>COUNTA(Table1[Project Name])</f>
        <v>15</v>
      </c>
    </row>
    <row r="4" spans="1:2" ht="18.75">
      <c r="A4" s="27" t="s">
        <v>56</v>
      </c>
      <c r="B4" s="27">
        <v>12</v>
      </c>
    </row>
    <row r="5" spans="1:2" ht="18.75">
      <c r="A5" s="27" t="s">
        <v>25</v>
      </c>
      <c r="B5" s="27">
        <v>3</v>
      </c>
    </row>
    <row r="124" spans="3:3">
      <c r="C124" t="s">
        <v>57</v>
      </c>
    </row>
  </sheetData>
  <mergeCells count="1">
    <mergeCell ref="A1:B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EAE9-6D77-464D-BAA4-6AF1F0950F5F}">
  <dimension ref="B1:D10"/>
  <sheetViews>
    <sheetView workbookViewId="0">
      <selection activeCell="B10" sqref="B10"/>
    </sheetView>
  </sheetViews>
  <sheetFormatPr defaultRowHeight="15"/>
  <cols>
    <col min="1" max="1" width="17.28515625" bestFit="1" customWidth="1"/>
    <col min="2" max="2" width="30.7109375" customWidth="1"/>
    <col min="3" max="3" width="36.5703125" bestFit="1" customWidth="1"/>
  </cols>
  <sheetData>
    <row r="1" spans="2:4">
      <c r="B1" s="26" t="s">
        <v>58</v>
      </c>
      <c r="C1" s="26"/>
      <c r="D1" s="26"/>
    </row>
    <row r="2" spans="2:4">
      <c r="B2" s="26"/>
      <c r="C2" s="26"/>
      <c r="D2" s="26"/>
    </row>
    <row r="4" spans="2:4" ht="30.75">
      <c r="B4" s="29" t="s">
        <v>59</v>
      </c>
      <c r="C4" s="28" t="s">
        <v>60</v>
      </c>
    </row>
    <row r="6" spans="2:4" ht="30.75" customHeight="1">
      <c r="B6" s="30" t="s">
        <v>61</v>
      </c>
      <c r="C6" s="28" t="s">
        <v>62</v>
      </c>
    </row>
    <row r="8" spans="2:4" ht="30.75">
      <c r="B8" s="30" t="s">
        <v>63</v>
      </c>
      <c r="C8" s="28" t="s">
        <v>64</v>
      </c>
    </row>
    <row r="10" spans="2:4" ht="30.75">
      <c r="B10" s="30" t="s">
        <v>65</v>
      </c>
      <c r="C10" s="28" t="s">
        <v>66</v>
      </c>
    </row>
  </sheetData>
  <mergeCells count="1">
    <mergeCell ref="B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kk7275417@gmail.com</cp:lastModifiedBy>
  <cp:revision>0</cp:revision>
  <dcterms:created xsi:type="dcterms:W3CDTF">2026-06-05T20:16:23Z</dcterms:created>
  <dcterms:modified xsi:type="dcterms:W3CDTF">2026-06-05T21:43:40Z</dcterms:modified>
  <cp:category/>
  <cp:contentStatus/>
</cp:coreProperties>
</file>